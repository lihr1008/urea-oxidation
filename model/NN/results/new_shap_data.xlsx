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2"/>
  </bookViews>
  <sheets>
    <sheet name="shap" sheetId="1" r:id="rId1"/>
    <sheet name="x_val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<sst xmlns="http://schemas.openxmlformats.org/spreadsheetml/2006/main" count="20" uniqueCount="10">
  <si>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shap_Mn</t>
  </si>
  <si>
    <t>shap_Fe</t>
  </si>
  <si>
    <t>shap_Co</t>
  </si>
  <si>
    <t>shap_Ni</t>
  </si>
  <si>
    <t>shap_Zn</t>
  </si>
  <si>
    <t>Mn</t>
  </si>
  <si>
    <t>Fe</t>
  </si>
  <si>
    <t>Co</t>
  </si>
  <si>
    <t>Ni</t>
  </si>
  <si>
    <t>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</si>
</sst>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$1:E$1048576"/>
    </sheetView>
  </sheetViews>
  <sheetFormatPr defaultColWidth="9" defaultRowHeight="13.5" outlineLevelCol="4"/>
  <cols>
    <col min="1" max="5" width="13.858407079646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0.149733606134998</v>
      </c>
      <c r="B2">
        <v>-0.0241950257199212</v>
      </c>
      <c r="C2">
        <v>0.371369083467506</v>
      </c>
      <c r="D2">
        <v>0.236734780244456</v>
      </c>
      <c r="E2">
        <v>-0.219993797210502</v>
      </c>
    </row>
    <row r="3" spans="1:5">
      <c r="A3">
        <v>-0.104048995809337</v>
      </c>
      <c r="B3">
        <v>-0.233385692638728</v>
      </c>
      <c r="C3">
        <v>-0.0421767833374222</v>
      </c>
      <c r="D3">
        <v>0.00114601739243968</v>
      </c>
      <c r="E3">
        <v>0.0538927599380487</v>
      </c>
    </row>
    <row r="4" spans="1:5">
      <c r="A4">
        <v>-0.0288443037312405</v>
      </c>
      <c r="B4">
        <v>0.0501011533859897</v>
      </c>
      <c r="C4">
        <v>-0.116803218795388</v>
      </c>
      <c r="D4">
        <v>0.0120453980145063</v>
      </c>
      <c r="E4">
        <v>0.322107531202994</v>
      </c>
    </row>
    <row r="5" spans="1:5">
      <c r="A5">
        <v>-0.0337872180916077</v>
      </c>
      <c r="B5">
        <v>0.0792569662962911</v>
      </c>
      <c r="C5">
        <v>-0.16798450827489</v>
      </c>
      <c r="D5">
        <v>0.0267531026764681</v>
      </c>
      <c r="E5">
        <v>0.0614756827377805</v>
      </c>
    </row>
    <row r="6" spans="1:5">
      <c r="A6">
        <v>-0.258940757314364</v>
      </c>
      <c r="B6">
        <v>-0.000226296738301511</v>
      </c>
      <c r="C6">
        <v>-0.19766559078559</v>
      </c>
      <c r="D6">
        <v>-0.157733636499182</v>
      </c>
      <c r="E6">
        <v>0.0217513767326725</v>
      </c>
    </row>
    <row r="7" spans="1:5">
      <c r="A7">
        <v>-0.297339321306231</v>
      </c>
      <c r="B7">
        <v>0.0256841841807552</v>
      </c>
      <c r="C7">
        <v>-0.144020501405877</v>
      </c>
      <c r="D7">
        <v>0.149197936919609</v>
      </c>
      <c r="E7">
        <v>-0.0627876367240999</v>
      </c>
    </row>
    <row r="8" spans="1:5">
      <c r="A8">
        <v>0.225379083506653</v>
      </c>
      <c r="B8">
        <v>-0.127877715533855</v>
      </c>
      <c r="C8">
        <v>0.329944337639848</v>
      </c>
      <c r="D8">
        <v>0.00593935801465004</v>
      </c>
      <c r="E8">
        <v>-0.214161695612814</v>
      </c>
    </row>
    <row r="9" spans="1:5">
      <c r="A9">
        <v>-0.259217988149281</v>
      </c>
      <c r="B9">
        <v>0.0310086561648136</v>
      </c>
      <c r="C9">
        <v>-0.141540991178184</v>
      </c>
      <c r="D9">
        <v>-0.155446321994943</v>
      </c>
      <c r="E9">
        <v>0.284145704252171</v>
      </c>
    </row>
    <row r="10" spans="1:5">
      <c r="A10">
        <v>0.349421620216293</v>
      </c>
      <c r="B10">
        <v>0.0703839704164248</v>
      </c>
      <c r="C10">
        <v>-0.172108788327405</v>
      </c>
      <c r="D10">
        <v>0.0278564829496192</v>
      </c>
      <c r="E10">
        <v>0.315135616731337</v>
      </c>
    </row>
    <row r="11" spans="1:5">
      <c r="A11">
        <v>-0.124375823309243</v>
      </c>
      <c r="B11">
        <v>-0.175008787957257</v>
      </c>
      <c r="C11">
        <v>-0.0472044063505591</v>
      </c>
      <c r="D11">
        <v>-0.188968961517162</v>
      </c>
      <c r="E11">
        <v>-0.00346164739818555</v>
      </c>
    </row>
    <row r="12" spans="1:5">
      <c r="A12">
        <v>0.186063260454867</v>
      </c>
      <c r="B12">
        <v>-0.102682113106563</v>
      </c>
      <c r="C12">
        <v>0.0684297374188534</v>
      </c>
      <c r="D12">
        <v>0.0113764061148772</v>
      </c>
      <c r="E12">
        <v>-0.246176623115316</v>
      </c>
    </row>
    <row r="13" spans="1:5">
      <c r="A13">
        <v>-0.292481979831834</v>
      </c>
      <c r="B13">
        <v>-0.133096007750753</v>
      </c>
      <c r="C13">
        <v>-0.215527763089859</v>
      </c>
      <c r="D13">
        <v>-0.167165862516884</v>
      </c>
      <c r="E13">
        <v>-0.0311045206444083</v>
      </c>
    </row>
    <row r="14" spans="1:5">
      <c r="A14">
        <v>-0.26471577299357</v>
      </c>
      <c r="B14">
        <v>-0.0222725035882025</v>
      </c>
      <c r="C14">
        <v>0.414480629332875</v>
      </c>
      <c r="D14">
        <v>0.24587150465697</v>
      </c>
      <c r="E14">
        <v>0.112044615453365</v>
      </c>
    </row>
    <row r="15" spans="1:5">
      <c r="A15">
        <v>-0.00553119048184045</v>
      </c>
      <c r="B15">
        <v>0.227090664564029</v>
      </c>
      <c r="C15">
        <v>-0.232073538089353</v>
      </c>
      <c r="D15">
        <v>-0.144126734851549</v>
      </c>
      <c r="E15">
        <v>0.255880900161962</v>
      </c>
    </row>
    <row r="16" spans="1:5">
      <c r="A16">
        <v>0.35340236154951</v>
      </c>
      <c r="B16">
        <v>0.188802093888322</v>
      </c>
      <c r="C16">
        <v>-0.179564026688389</v>
      </c>
      <c r="D16">
        <v>0.194678260847999</v>
      </c>
      <c r="E16">
        <v>0.151982263398959</v>
      </c>
    </row>
    <row r="17" spans="1:5">
      <c r="A17">
        <v>-0.244439261767502</v>
      </c>
      <c r="B17">
        <v>0.204802300221122</v>
      </c>
      <c r="C17">
        <v>-0.132231727860795</v>
      </c>
      <c r="D17">
        <v>0.0194513255974971</v>
      </c>
      <c r="E17">
        <v>0.352314968837023</v>
      </c>
    </row>
    <row r="18" spans="1:5">
      <c r="A18">
        <v>-0.0502642430675525</v>
      </c>
      <c r="B18">
        <v>0.0419149467064178</v>
      </c>
      <c r="C18">
        <v>-0.0229892478927092</v>
      </c>
      <c r="D18">
        <v>0.356573952834907</v>
      </c>
      <c r="E18">
        <v>0.14255568962179</v>
      </c>
    </row>
    <row r="19" spans="1:5">
      <c r="A19">
        <v>-0.020910163686848</v>
      </c>
      <c r="B19">
        <v>0.203603127332879</v>
      </c>
      <c r="C19">
        <v>-0.161262692733138</v>
      </c>
      <c r="D19">
        <v>0.193618781540324</v>
      </c>
      <c r="E19">
        <v>0.139515363801928</v>
      </c>
    </row>
    <row r="20" spans="1:5">
      <c r="A20">
        <v>-0.1986242131856</v>
      </c>
      <c r="B20">
        <v>0.00838316429406405</v>
      </c>
      <c r="C20">
        <v>-0.174289635084569</v>
      </c>
      <c r="D20">
        <v>-0.0758140491391075</v>
      </c>
      <c r="E20">
        <v>-0.297226607837513</v>
      </c>
    </row>
    <row r="21" spans="1:5">
      <c r="A21">
        <v>-0.213465224409878</v>
      </c>
      <c r="B21">
        <v>0.0936387819449835</v>
      </c>
      <c r="C21">
        <v>-0.154906014235069</v>
      </c>
      <c r="D21">
        <v>0.0142043247683813</v>
      </c>
      <c r="E21">
        <v>0.0255263770174455</v>
      </c>
    </row>
    <row r="22" spans="1:5">
      <c r="A22">
        <v>-0.290336914837507</v>
      </c>
      <c r="B22">
        <v>-0.11149385948428</v>
      </c>
      <c r="C22">
        <v>-0.19331314630076</v>
      </c>
      <c r="D22">
        <v>-0.0260737006337036</v>
      </c>
      <c r="E22">
        <v>-0.0818758301586644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$1:E$1048576"/>
    </sheetView>
  </sheetViews>
  <sheetFormatPr defaultColWidth="9.02654867256637" defaultRowHeight="13.5" outlineLevelCol="4"/>
  <sheetData>
    <row r="1" spans="1: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</row>
    <row r="2" spans="1:5">
      <c r="A2">
        <v>0.3</v>
      </c>
      <c r="B2">
        <v>0.1</v>
      </c>
      <c r="C2">
        <v>0.1</v>
      </c>
      <c r="D2">
        <v>0.3</v>
      </c>
      <c r="E2">
        <v>0.2</v>
      </c>
    </row>
    <row r="3" spans="1:5">
      <c r="A3">
        <v>0.1</v>
      </c>
      <c r="B3">
        <v>0.2</v>
      </c>
      <c r="C3">
        <v>0.2</v>
      </c>
      <c r="D3">
        <v>0.2</v>
      </c>
      <c r="E3">
        <v>0.3</v>
      </c>
    </row>
    <row r="4" spans="1:5">
      <c r="A4">
        <v>0.1</v>
      </c>
      <c r="B4">
        <v>0.1</v>
      </c>
      <c r="C4">
        <v>0.25</v>
      </c>
      <c r="D4">
        <v>0.2</v>
      </c>
      <c r="E4">
        <v>0.35</v>
      </c>
    </row>
    <row r="5" spans="1:5">
      <c r="A5">
        <v>0.1</v>
      </c>
      <c r="B5">
        <v>0.1</v>
      </c>
      <c r="C5">
        <v>0.3</v>
      </c>
      <c r="D5">
        <v>0.2</v>
      </c>
      <c r="E5">
        <v>0.3</v>
      </c>
    </row>
    <row r="6" spans="1:5">
      <c r="A6">
        <v>0.15</v>
      </c>
      <c r="B6">
        <v>0.1</v>
      </c>
      <c r="C6">
        <v>0.3</v>
      </c>
      <c r="D6">
        <v>0.15</v>
      </c>
      <c r="E6">
        <v>0.3</v>
      </c>
    </row>
    <row r="7" spans="1:5">
      <c r="A7">
        <v>0.15</v>
      </c>
      <c r="B7">
        <v>0.1</v>
      </c>
      <c r="C7">
        <v>0.25</v>
      </c>
      <c r="D7">
        <v>0.25</v>
      </c>
      <c r="E7">
        <v>0.25</v>
      </c>
    </row>
    <row r="8" spans="1:5">
      <c r="A8">
        <v>0.3</v>
      </c>
      <c r="B8">
        <v>0.2</v>
      </c>
      <c r="C8">
        <v>0.1</v>
      </c>
      <c r="D8">
        <v>0.2</v>
      </c>
      <c r="E8">
        <v>0.2</v>
      </c>
    </row>
    <row r="9" spans="1:5">
      <c r="A9">
        <v>0.15</v>
      </c>
      <c r="B9">
        <v>0.1</v>
      </c>
      <c r="C9">
        <v>0.25</v>
      </c>
      <c r="D9">
        <v>0.15</v>
      </c>
      <c r="E9">
        <v>0.35</v>
      </c>
    </row>
    <row r="10" spans="1:5">
      <c r="A10">
        <v>0.05</v>
      </c>
      <c r="B10">
        <v>0.1</v>
      </c>
      <c r="C10">
        <v>0.3</v>
      </c>
      <c r="D10">
        <v>0.2</v>
      </c>
      <c r="E10">
        <v>0.35</v>
      </c>
    </row>
    <row r="11" spans="1:5">
      <c r="A11">
        <v>0.1</v>
      </c>
      <c r="B11">
        <v>0.3</v>
      </c>
      <c r="C11">
        <v>0.2</v>
      </c>
      <c r="D11">
        <v>0.1</v>
      </c>
      <c r="E11">
        <v>0.3</v>
      </c>
    </row>
    <row r="12" spans="1:5">
      <c r="A12">
        <v>0.3</v>
      </c>
      <c r="B12">
        <v>0.2</v>
      </c>
      <c r="C12">
        <v>0.2</v>
      </c>
      <c r="D12">
        <v>0.2</v>
      </c>
      <c r="E12">
        <v>0.1</v>
      </c>
    </row>
    <row r="13" spans="1:5">
      <c r="A13">
        <v>0.15</v>
      </c>
      <c r="B13">
        <v>0.15</v>
      </c>
      <c r="C13">
        <v>0.25</v>
      </c>
      <c r="D13">
        <v>0.15</v>
      </c>
      <c r="E13">
        <v>0.3</v>
      </c>
    </row>
    <row r="14" spans="1:5">
      <c r="A14">
        <v>0.2</v>
      </c>
      <c r="B14">
        <v>0.1</v>
      </c>
      <c r="C14">
        <v>0.1</v>
      </c>
      <c r="D14">
        <v>0.3</v>
      </c>
      <c r="E14">
        <v>0.3</v>
      </c>
    </row>
    <row r="15" spans="1:5">
      <c r="A15">
        <v>0.1</v>
      </c>
      <c r="B15">
        <v>0.05</v>
      </c>
      <c r="C15">
        <v>0.35</v>
      </c>
      <c r="D15">
        <v>0.15</v>
      </c>
      <c r="E15">
        <v>0.35</v>
      </c>
    </row>
    <row r="16" spans="1:5">
      <c r="A16">
        <v>0.05</v>
      </c>
      <c r="B16">
        <v>0.05</v>
      </c>
      <c r="C16">
        <v>0.35</v>
      </c>
      <c r="D16">
        <v>0.25</v>
      </c>
      <c r="E16">
        <v>0.3</v>
      </c>
    </row>
    <row r="17" spans="1:5">
      <c r="A17">
        <v>0.15</v>
      </c>
      <c r="B17">
        <v>0.05</v>
      </c>
      <c r="C17">
        <v>0.25</v>
      </c>
      <c r="D17">
        <v>0.2</v>
      </c>
      <c r="E17">
        <v>0.35</v>
      </c>
    </row>
    <row r="18" spans="1:5">
      <c r="A18">
        <v>0.1</v>
      </c>
      <c r="B18">
        <v>0.1</v>
      </c>
      <c r="C18">
        <v>0.2</v>
      </c>
      <c r="D18">
        <v>0.3</v>
      </c>
      <c r="E18">
        <v>0.3</v>
      </c>
    </row>
    <row r="19" spans="1:5">
      <c r="A19">
        <v>0.1</v>
      </c>
      <c r="B19">
        <v>0.05</v>
      </c>
      <c r="C19">
        <v>0.3</v>
      </c>
      <c r="D19">
        <v>0.25</v>
      </c>
      <c r="E19">
        <v>0.3</v>
      </c>
    </row>
    <row r="20" spans="1:5">
      <c r="A20">
        <v>0.2</v>
      </c>
      <c r="B20">
        <v>0.3</v>
      </c>
      <c r="C20">
        <v>0.3</v>
      </c>
      <c r="D20">
        <v>0.1</v>
      </c>
      <c r="E20">
        <v>0.1</v>
      </c>
    </row>
    <row r="21" spans="1:5">
      <c r="A21">
        <v>0.15</v>
      </c>
      <c r="B21">
        <v>0.05</v>
      </c>
      <c r="C21">
        <v>0.35</v>
      </c>
      <c r="D21">
        <v>0.2</v>
      </c>
      <c r="E21">
        <v>0.25</v>
      </c>
    </row>
    <row r="22" spans="1:5">
      <c r="A22">
        <v>0.15</v>
      </c>
      <c r="B22">
        <v>0.15</v>
      </c>
      <c r="C22">
        <v>0.25</v>
      </c>
      <c r="D22">
        <v>0.2</v>
      </c>
      <c r="E22">
        <v>0.25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topLeftCell="A4" workbookViewId="0">
      <selection activeCell="K27" sqref="K27"/>
    </sheetView>
  </sheetViews>
  <sheetFormatPr defaultColWidth="9.02654867256637" defaultRowHeight="13.5"/>
  <cols>
    <col min="1" max="5" width="13.858407079646"/>
    <col min="6" max="11" width="12.796460176991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</row>
    <row r="2" spans="1:10">
      <c r="A2">
        <v>0.149733606134998</v>
      </c>
      <c r="B2">
        <v>-0.0241950257199212</v>
      </c>
      <c r="C2">
        <v>0.371369083467506</v>
      </c>
      <c r="D2">
        <v>0.236734780244456</v>
      </c>
      <c r="E2">
        <v>-0.219993797210502</v>
      </c>
      <c r="F2">
        <f>ABS(A2)</f>
        <v>0.149733606134998</v>
      </c>
      <c r="G2">
        <f>ABS(B2)</f>
        <v>0.0241950257199212</v>
      </c>
      <c r="H2">
        <f>ABS(C2)</f>
        <v>0.371369083467506</v>
      </c>
      <c r="I2">
        <f>ABS(D2)</f>
        <v>0.236734780244456</v>
      </c>
      <c r="J2">
        <f>ABS(E2)</f>
        <v>0.219993797210502</v>
      </c>
    </row>
    <row r="3" spans="1:10">
      <c r="A3">
        <v>-0.104048995809337</v>
      </c>
      <c r="B3">
        <v>-0.233385692638728</v>
      </c>
      <c r="C3">
        <v>-0.0421767833374222</v>
      </c>
      <c r="D3">
        <v>0.00114601739243968</v>
      </c>
      <c r="E3">
        <v>0.0538927599380487</v>
      </c>
      <c r="F3">
        <f t="shared" ref="F3:F22" si="0">ABS(A3)</f>
        <v>0.104048995809337</v>
      </c>
      <c r="G3">
        <f t="shared" ref="G3:G22" si="1">ABS(B3)</f>
        <v>0.233385692638728</v>
      </c>
      <c r="H3">
        <f t="shared" ref="H3:H22" si="2">ABS(C3)</f>
        <v>0.0421767833374222</v>
      </c>
      <c r="I3">
        <f t="shared" ref="I3:I22" si="3">ABS(D3)</f>
        <v>0.00114601739243968</v>
      </c>
      <c r="J3">
        <f t="shared" ref="J3:J22" si="4">ABS(E3)</f>
        <v>0.0538927599380487</v>
      </c>
    </row>
    <row r="4" spans="1:10">
      <c r="A4">
        <v>-0.0288443037312405</v>
      </c>
      <c r="B4">
        <v>0.0501011533859897</v>
      </c>
      <c r="C4">
        <v>-0.116803218795388</v>
      </c>
      <c r="D4">
        <v>0.0120453980145063</v>
      </c>
      <c r="E4">
        <v>0.322107531202994</v>
      </c>
      <c r="F4">
        <f t="shared" si="0"/>
        <v>0.0288443037312405</v>
      </c>
      <c r="G4">
        <f t="shared" si="1"/>
        <v>0.0501011533859897</v>
      </c>
      <c r="H4">
        <f t="shared" si="2"/>
        <v>0.116803218795388</v>
      </c>
      <c r="I4">
        <f t="shared" si="3"/>
        <v>0.0120453980145063</v>
      </c>
      <c r="J4">
        <f t="shared" si="4"/>
        <v>0.322107531202994</v>
      </c>
    </row>
    <row r="5" spans="1:10">
      <c r="A5">
        <v>-0.0337872180916077</v>
      </c>
      <c r="B5">
        <v>0.0792569662962911</v>
      </c>
      <c r="C5">
        <v>-0.16798450827489</v>
      </c>
      <c r="D5">
        <v>0.0267531026764681</v>
      </c>
      <c r="E5">
        <v>0.0614756827377805</v>
      </c>
      <c r="F5">
        <f t="shared" si="0"/>
        <v>0.0337872180916077</v>
      </c>
      <c r="G5">
        <f t="shared" si="1"/>
        <v>0.0792569662962911</v>
      </c>
      <c r="H5">
        <f t="shared" si="2"/>
        <v>0.16798450827489</v>
      </c>
      <c r="I5">
        <f t="shared" si="3"/>
        <v>0.0267531026764681</v>
      </c>
      <c r="J5">
        <f t="shared" si="4"/>
        <v>0.0614756827377805</v>
      </c>
    </row>
    <row r="6" spans="1:10">
      <c r="A6">
        <v>-0.258940757314364</v>
      </c>
      <c r="B6">
        <v>-0.000226296738301511</v>
      </c>
      <c r="C6">
        <v>-0.19766559078559</v>
      </c>
      <c r="D6">
        <v>-0.157733636499182</v>
      </c>
      <c r="E6">
        <v>0.0217513767326725</v>
      </c>
      <c r="F6">
        <f t="shared" si="0"/>
        <v>0.258940757314364</v>
      </c>
      <c r="G6">
        <f t="shared" si="1"/>
        <v>0.000226296738301511</v>
      </c>
      <c r="H6">
        <f t="shared" si="2"/>
        <v>0.19766559078559</v>
      </c>
      <c r="I6">
        <f t="shared" si="3"/>
        <v>0.157733636499182</v>
      </c>
      <c r="J6">
        <f t="shared" si="4"/>
        <v>0.0217513767326725</v>
      </c>
    </row>
    <row r="7" spans="1:10">
      <c r="A7">
        <v>-0.297339321306231</v>
      </c>
      <c r="B7">
        <v>0.0256841841807552</v>
      </c>
      <c r="C7">
        <v>-0.144020501405877</v>
      </c>
      <c r="D7">
        <v>0.149197936919609</v>
      </c>
      <c r="E7">
        <v>-0.0627876367240999</v>
      </c>
      <c r="F7">
        <f t="shared" si="0"/>
        <v>0.297339321306231</v>
      </c>
      <c r="G7">
        <f t="shared" si="1"/>
        <v>0.0256841841807552</v>
      </c>
      <c r="H7">
        <f t="shared" si="2"/>
        <v>0.144020501405877</v>
      </c>
      <c r="I7">
        <f t="shared" si="3"/>
        <v>0.149197936919609</v>
      </c>
      <c r="J7">
        <f t="shared" si="4"/>
        <v>0.0627876367240999</v>
      </c>
    </row>
    <row r="8" spans="1:10">
      <c r="A8">
        <v>0.225379083506653</v>
      </c>
      <c r="B8">
        <v>-0.127877715533855</v>
      </c>
      <c r="C8">
        <v>0.329944337639848</v>
      </c>
      <c r="D8">
        <v>0.00593935801465004</v>
      </c>
      <c r="E8">
        <v>-0.214161695612814</v>
      </c>
      <c r="F8">
        <f t="shared" si="0"/>
        <v>0.225379083506653</v>
      </c>
      <c r="G8">
        <f t="shared" si="1"/>
        <v>0.127877715533855</v>
      </c>
      <c r="H8">
        <f t="shared" si="2"/>
        <v>0.329944337639848</v>
      </c>
      <c r="I8">
        <f t="shared" si="3"/>
        <v>0.00593935801465004</v>
      </c>
      <c r="J8">
        <f t="shared" si="4"/>
        <v>0.214161695612814</v>
      </c>
    </row>
    <row r="9" spans="1:10">
      <c r="A9">
        <v>-0.259217988149281</v>
      </c>
      <c r="B9">
        <v>0.0310086561648136</v>
      </c>
      <c r="C9">
        <v>-0.141540991178184</v>
      </c>
      <c r="D9">
        <v>-0.155446321994943</v>
      </c>
      <c r="E9">
        <v>0.284145704252171</v>
      </c>
      <c r="F9">
        <f t="shared" si="0"/>
        <v>0.259217988149281</v>
      </c>
      <c r="G9">
        <f t="shared" si="1"/>
        <v>0.0310086561648136</v>
      </c>
      <c r="H9">
        <f t="shared" si="2"/>
        <v>0.141540991178184</v>
      </c>
      <c r="I9">
        <f t="shared" si="3"/>
        <v>0.155446321994943</v>
      </c>
      <c r="J9">
        <f t="shared" si="4"/>
        <v>0.284145704252171</v>
      </c>
    </row>
    <row r="10" spans="1:10">
      <c r="A10">
        <v>0.349421620216293</v>
      </c>
      <c r="B10">
        <v>0.0703839704164248</v>
      </c>
      <c r="C10">
        <v>-0.172108788327405</v>
      </c>
      <c r="D10">
        <v>0.0278564829496192</v>
      </c>
      <c r="E10">
        <v>0.315135616731337</v>
      </c>
      <c r="F10">
        <f t="shared" si="0"/>
        <v>0.349421620216293</v>
      </c>
      <c r="G10">
        <f t="shared" si="1"/>
        <v>0.0703839704164248</v>
      </c>
      <c r="H10">
        <f t="shared" si="2"/>
        <v>0.172108788327405</v>
      </c>
      <c r="I10">
        <f t="shared" si="3"/>
        <v>0.0278564829496192</v>
      </c>
      <c r="J10">
        <f t="shared" si="4"/>
        <v>0.315135616731337</v>
      </c>
    </row>
    <row r="11" spans="1:10">
      <c r="A11">
        <v>-0.124375823309243</v>
      </c>
      <c r="B11">
        <v>-0.175008787957257</v>
      </c>
      <c r="C11">
        <v>-0.0472044063505591</v>
      </c>
      <c r="D11">
        <v>-0.188968961517162</v>
      </c>
      <c r="E11">
        <v>-0.00346164739818555</v>
      </c>
      <c r="F11">
        <f t="shared" si="0"/>
        <v>0.124375823309243</v>
      </c>
      <c r="G11">
        <f t="shared" si="1"/>
        <v>0.175008787957257</v>
      </c>
      <c r="H11">
        <f t="shared" si="2"/>
        <v>0.0472044063505591</v>
      </c>
      <c r="I11">
        <f t="shared" si="3"/>
        <v>0.188968961517162</v>
      </c>
      <c r="J11">
        <f t="shared" si="4"/>
        <v>0.00346164739818555</v>
      </c>
    </row>
    <row r="12" spans="1:10">
      <c r="A12">
        <v>0.186063260454867</v>
      </c>
      <c r="B12">
        <v>-0.102682113106563</v>
      </c>
      <c r="C12">
        <v>0.0684297374188534</v>
      </c>
      <c r="D12">
        <v>0.0113764061148772</v>
      </c>
      <c r="E12">
        <v>-0.246176623115316</v>
      </c>
      <c r="F12">
        <f t="shared" si="0"/>
        <v>0.186063260454867</v>
      </c>
      <c r="G12">
        <f t="shared" si="1"/>
        <v>0.102682113106563</v>
      </c>
      <c r="H12">
        <f t="shared" si="2"/>
        <v>0.0684297374188534</v>
      </c>
      <c r="I12">
        <f t="shared" si="3"/>
        <v>0.0113764061148772</v>
      </c>
      <c r="J12">
        <f t="shared" si="4"/>
        <v>0.246176623115316</v>
      </c>
    </row>
    <row r="13" spans="1:10">
      <c r="A13">
        <v>-0.292481979831834</v>
      </c>
      <c r="B13">
        <v>-0.133096007750753</v>
      </c>
      <c r="C13">
        <v>-0.215527763089859</v>
      </c>
      <c r="D13">
        <v>-0.167165862516884</v>
      </c>
      <c r="E13">
        <v>-0.0311045206444083</v>
      </c>
      <c r="F13">
        <f t="shared" si="0"/>
        <v>0.292481979831834</v>
      </c>
      <c r="G13">
        <f t="shared" si="1"/>
        <v>0.133096007750753</v>
      </c>
      <c r="H13">
        <f t="shared" si="2"/>
        <v>0.215527763089859</v>
      </c>
      <c r="I13">
        <f t="shared" si="3"/>
        <v>0.167165862516884</v>
      </c>
      <c r="J13">
        <f t="shared" si="4"/>
        <v>0.0311045206444083</v>
      </c>
    </row>
    <row r="14" spans="1:10">
      <c r="A14">
        <v>-0.26471577299357</v>
      </c>
      <c r="B14">
        <v>-0.0222725035882025</v>
      </c>
      <c r="C14">
        <v>0.414480629332875</v>
      </c>
      <c r="D14">
        <v>0.24587150465697</v>
      </c>
      <c r="E14">
        <v>0.112044615453365</v>
      </c>
      <c r="F14">
        <f t="shared" si="0"/>
        <v>0.26471577299357</v>
      </c>
      <c r="G14">
        <f t="shared" si="1"/>
        <v>0.0222725035882025</v>
      </c>
      <c r="H14">
        <f t="shared" si="2"/>
        <v>0.414480629332875</v>
      </c>
      <c r="I14">
        <f t="shared" si="3"/>
        <v>0.24587150465697</v>
      </c>
      <c r="J14">
        <f t="shared" si="4"/>
        <v>0.112044615453365</v>
      </c>
    </row>
    <row r="15" spans="1:10">
      <c r="A15">
        <v>-0.00553119048184045</v>
      </c>
      <c r="B15">
        <v>0.227090664564029</v>
      </c>
      <c r="C15">
        <v>-0.232073538089353</v>
      </c>
      <c r="D15">
        <v>-0.144126734851549</v>
      </c>
      <c r="E15">
        <v>0.255880900161962</v>
      </c>
      <c r="F15">
        <f t="shared" si="0"/>
        <v>0.00553119048184045</v>
      </c>
      <c r="G15">
        <f t="shared" si="1"/>
        <v>0.227090664564029</v>
      </c>
      <c r="H15">
        <f t="shared" si="2"/>
        <v>0.232073538089353</v>
      </c>
      <c r="I15">
        <f t="shared" si="3"/>
        <v>0.144126734851549</v>
      </c>
      <c r="J15">
        <f t="shared" si="4"/>
        <v>0.255880900161962</v>
      </c>
    </row>
    <row r="16" spans="1:10">
      <c r="A16">
        <v>0.35340236154951</v>
      </c>
      <c r="B16">
        <v>0.188802093888322</v>
      </c>
      <c r="C16">
        <v>-0.179564026688389</v>
      </c>
      <c r="D16">
        <v>0.194678260847999</v>
      </c>
      <c r="E16">
        <v>0.151982263398959</v>
      </c>
      <c r="F16">
        <f t="shared" si="0"/>
        <v>0.35340236154951</v>
      </c>
      <c r="G16">
        <f t="shared" si="1"/>
        <v>0.188802093888322</v>
      </c>
      <c r="H16">
        <f t="shared" si="2"/>
        <v>0.179564026688389</v>
      </c>
      <c r="I16">
        <f t="shared" si="3"/>
        <v>0.194678260847999</v>
      </c>
      <c r="J16">
        <f t="shared" si="4"/>
        <v>0.151982263398959</v>
      </c>
    </row>
    <row r="17" spans="1:10">
      <c r="A17">
        <v>-0.244439261767502</v>
      </c>
      <c r="B17">
        <v>0.204802300221122</v>
      </c>
      <c r="C17">
        <v>-0.132231727860795</v>
      </c>
      <c r="D17">
        <v>0.0194513255974971</v>
      </c>
      <c r="E17">
        <v>0.352314968837023</v>
      </c>
      <c r="F17">
        <f t="shared" si="0"/>
        <v>0.244439261767502</v>
      </c>
      <c r="G17">
        <f t="shared" si="1"/>
        <v>0.204802300221122</v>
      </c>
      <c r="H17">
        <f t="shared" si="2"/>
        <v>0.132231727860795</v>
      </c>
      <c r="I17">
        <f t="shared" si="3"/>
        <v>0.0194513255974971</v>
      </c>
      <c r="J17">
        <f t="shared" si="4"/>
        <v>0.352314968837023</v>
      </c>
    </row>
    <row r="18" spans="1:10">
      <c r="A18">
        <v>-0.0502642430675525</v>
      </c>
      <c r="B18">
        <v>0.0419149467064178</v>
      </c>
      <c r="C18">
        <v>-0.0229892478927092</v>
      </c>
      <c r="D18">
        <v>0.356573952834907</v>
      </c>
      <c r="E18">
        <v>0.14255568962179</v>
      </c>
      <c r="F18">
        <f t="shared" si="0"/>
        <v>0.0502642430675525</v>
      </c>
      <c r="G18">
        <f t="shared" si="1"/>
        <v>0.0419149467064178</v>
      </c>
      <c r="H18">
        <f t="shared" si="2"/>
        <v>0.0229892478927092</v>
      </c>
      <c r="I18">
        <f t="shared" si="3"/>
        <v>0.356573952834907</v>
      </c>
      <c r="J18">
        <f t="shared" si="4"/>
        <v>0.14255568962179</v>
      </c>
    </row>
    <row r="19" spans="1:10">
      <c r="A19">
        <v>-0.020910163686848</v>
      </c>
      <c r="B19">
        <v>0.203603127332879</v>
      </c>
      <c r="C19">
        <v>-0.161262692733138</v>
      </c>
      <c r="D19">
        <v>0.193618781540324</v>
      </c>
      <c r="E19">
        <v>0.139515363801928</v>
      </c>
      <c r="F19">
        <f t="shared" si="0"/>
        <v>0.020910163686848</v>
      </c>
      <c r="G19">
        <f t="shared" si="1"/>
        <v>0.203603127332879</v>
      </c>
      <c r="H19">
        <f t="shared" si="2"/>
        <v>0.161262692733138</v>
      </c>
      <c r="I19">
        <f t="shared" si="3"/>
        <v>0.193618781540324</v>
      </c>
      <c r="J19">
        <f t="shared" si="4"/>
        <v>0.139515363801928</v>
      </c>
    </row>
    <row r="20" spans="1:10">
      <c r="A20">
        <v>-0.1986242131856</v>
      </c>
      <c r="B20">
        <v>0.00838316429406405</v>
      </c>
      <c r="C20">
        <v>-0.174289635084569</v>
      </c>
      <c r="D20">
        <v>-0.0758140491391075</v>
      </c>
      <c r="E20">
        <v>-0.297226607837513</v>
      </c>
      <c r="F20">
        <f t="shared" si="0"/>
        <v>0.1986242131856</v>
      </c>
      <c r="G20">
        <f t="shared" si="1"/>
        <v>0.00838316429406405</v>
      </c>
      <c r="H20">
        <f t="shared" si="2"/>
        <v>0.174289635084569</v>
      </c>
      <c r="I20">
        <f t="shared" si="3"/>
        <v>0.0758140491391075</v>
      </c>
      <c r="J20">
        <f t="shared" si="4"/>
        <v>0.297226607837513</v>
      </c>
    </row>
    <row r="21" spans="1:10">
      <c r="A21">
        <v>-0.213465224409878</v>
      </c>
      <c r="B21">
        <v>0.0936387819449835</v>
      </c>
      <c r="C21">
        <v>-0.154906014235069</v>
      </c>
      <c r="D21">
        <v>0.0142043247683813</v>
      </c>
      <c r="E21">
        <v>0.0255263770174455</v>
      </c>
      <c r="F21">
        <f t="shared" si="0"/>
        <v>0.213465224409878</v>
      </c>
      <c r="G21">
        <f t="shared" si="1"/>
        <v>0.0936387819449835</v>
      </c>
      <c r="H21">
        <f t="shared" si="2"/>
        <v>0.154906014235069</v>
      </c>
      <c r="I21">
        <f t="shared" si="3"/>
        <v>0.0142043247683813</v>
      </c>
      <c r="J21">
        <f t="shared" si="4"/>
        <v>0.0255263770174455</v>
      </c>
    </row>
    <row r="22" spans="1:10">
      <c r="A22">
        <v>-0.290336914837507</v>
      </c>
      <c r="B22">
        <v>-0.11149385948428</v>
      </c>
      <c r="C22">
        <v>-0.19331314630076</v>
      </c>
      <c r="D22">
        <v>-0.0260737006337036</v>
      </c>
      <c r="E22">
        <v>-0.0818758301586644</v>
      </c>
      <c r="F22">
        <f t="shared" si="0"/>
        <v>0.290336914837507</v>
      </c>
      <c r="G22">
        <f t="shared" si="1"/>
        <v>0.11149385948428</v>
      </c>
      <c r="H22">
        <f t="shared" si="2"/>
        <v>0.19331314630076</v>
      </c>
      <c r="I22">
        <f t="shared" si="3"/>
        <v>0.0260737006337036</v>
      </c>
      <c r="J22">
        <f t="shared" si="4"/>
        <v>0.0818758301586644</v>
      </c>
    </row>
    <row r="23" spans="6:11">
      <c r="F23">
        <f>AVERAGE(F2:F22)</f>
        <v>0.188158252563607</v>
      </c>
      <c r="G23">
        <f>AVERAGE(G2:G22)</f>
        <v>0.102614667233998</v>
      </c>
      <c r="H23">
        <f>AVERAGE(H2:H22)</f>
        <v>0.17523268420424</v>
      </c>
      <c r="I23">
        <f>AVERAGE(I2:I22)</f>
        <v>0.114798899986916</v>
      </c>
      <c r="J23">
        <f>AVERAGE(J2:J22)</f>
        <v>0.161672248028047</v>
      </c>
      <c r="K23">
        <f>SUM(F23:J23)</f>
        <v>0.742476752016808</v>
      </c>
    </row>
    <row r="24" spans="6:10">
      <c r="F24">
        <f>F23/K23</f>
        <v>0.253419722641158</v>
      </c>
      <c r="G24">
        <f>G23/K$23</f>
        <v>0.138205899316393</v>
      </c>
      <c r="H24">
        <f>H23/K$23</f>
        <v>0.236011004692404</v>
      </c>
      <c r="I24">
        <f>I23/K23</f>
        <v>0.154616154209657</v>
      </c>
      <c r="J24">
        <f>J23/K23</f>
        <v>0.217747219140387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shap</vt:lpstr>
      <vt:lpstr>x_val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shatro1008</cp:lastModifiedBy>
  <dcterms:created xsi:type="dcterms:W3CDTF">2025-06-19T05:26:00Z</dcterms:created>
  <dcterms:modified xsi:type="dcterms:W3CDTF">2025-06-19T05:33:58Z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EE43062C25B140D285B7FBAB6A1BED5E_12</vt:lpwstr>
  </property>
  <property fmtid="{D5CDD505-2E9C-101B-9397-08002B2CF9AE}" pid="3" name="KSOProductBuildVer">
    <vt:lpwstr>2052-12.1.0.21541</vt:lpwstr>
  </property>
</Properties>
</file>